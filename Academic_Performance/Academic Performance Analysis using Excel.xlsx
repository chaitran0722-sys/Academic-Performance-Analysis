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hait\Downloads\DATA ANALYSIS WORK\EXCEL\"/>
    </mc:Choice>
  </mc:AlternateContent>
  <xr:revisionPtr revIDLastSave="0" documentId="13_ncr:1_{10C8BA27-70FE-48A8-899D-9BF34778FEDC}" xr6:coauthVersionLast="47" xr6:coauthVersionMax="47" xr10:uidLastSave="{00000000-0000-0000-0000-000000000000}"/>
  <bookViews>
    <workbookView xWindow="-108" yWindow="-108" windowWidth="23256" windowHeight="12456" activeTab="1" xr2:uid="{32C4C1A3-596B-49FC-AAAA-7C5310183A2C}"/>
  </bookViews>
  <sheets>
    <sheet name="Final summary chart" sheetId="8" r:id="rId1"/>
    <sheet name="EDUCATION PERFORMANCE" sheetId="1" r:id="rId2"/>
  </sheets>
  <definedNames>
    <definedName name="_xlnm._FilterDatabase" localSheetId="1" hidden="1">'EDUCATION PERFORMANCE'!$A$2:$K$25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I18" i="1"/>
  <c r="G18" i="1"/>
  <c r="F18" i="1"/>
  <c r="H39" i="1"/>
  <c r="F39" i="1"/>
  <c r="H33" i="1"/>
  <c r="H34" i="1"/>
  <c r="H35" i="1"/>
  <c r="H36" i="1"/>
  <c r="H37" i="1"/>
  <c r="H32" i="1"/>
  <c r="I25" i="1"/>
  <c r="I9" i="1"/>
  <c r="H24" i="1"/>
  <c r="H23" i="1"/>
  <c r="H22" i="1"/>
  <c r="H21" i="1"/>
  <c r="H20" i="1"/>
  <c r="H19" i="1"/>
  <c r="H14" i="1"/>
  <c r="H11" i="1"/>
  <c r="G9" i="1"/>
  <c r="F9" i="1"/>
  <c r="H4" i="1"/>
  <c r="H5" i="1"/>
  <c r="H6" i="1"/>
  <c r="H7" i="1"/>
  <c r="H8" i="1"/>
  <c r="H3" i="1"/>
  <c r="H10" i="1"/>
  <c r="H15" i="1"/>
  <c r="H12" i="1"/>
  <c r="H13" i="1"/>
</calcChain>
</file>

<file path=xl/sharedStrings.xml><?xml version="1.0" encoding="utf-8"?>
<sst xmlns="http://schemas.openxmlformats.org/spreadsheetml/2006/main" count="198" uniqueCount="71">
  <si>
    <t>Sanskrit</t>
  </si>
  <si>
    <t>English</t>
  </si>
  <si>
    <t>Kannada</t>
  </si>
  <si>
    <t>Mathematics</t>
  </si>
  <si>
    <t>10th</t>
  </si>
  <si>
    <t>2017-2019</t>
  </si>
  <si>
    <t>2019-2022</t>
  </si>
  <si>
    <t>BE</t>
  </si>
  <si>
    <t>NO</t>
  </si>
  <si>
    <t>CLEARED</t>
  </si>
  <si>
    <t>YES</t>
  </si>
  <si>
    <t xml:space="preserve">Sem 4 </t>
  </si>
  <si>
    <t>NONE</t>
  </si>
  <si>
    <t>BEEE</t>
  </si>
  <si>
    <t>AE,DE,AC</t>
  </si>
  <si>
    <t>M3</t>
  </si>
  <si>
    <t>2023-2025</t>
  </si>
  <si>
    <t>JUNE</t>
  </si>
  <si>
    <t>APRIL</t>
  </si>
  <si>
    <t>MAY</t>
  </si>
  <si>
    <t xml:space="preserve">APRIL </t>
  </si>
  <si>
    <t>JAN</t>
  </si>
  <si>
    <t>NOV/DEC</t>
  </si>
  <si>
    <t>APR/MAY</t>
  </si>
  <si>
    <t>DIPLOMA</t>
  </si>
  <si>
    <t xml:space="preserve">OVER All </t>
  </si>
  <si>
    <t>FINAL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</si>
  <si>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</si>
  <si>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</si>
  <si>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</si>
  <si>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</si>
  <si>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</si>
  <si>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</si>
  <si>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</si>
  <si>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</si>
  <si>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OVER ALL</t>
  </si>
  <si>
    <t>OVER All</t>
  </si>
  <si>
    <t>COMPLETED</t>
  </si>
  <si>
    <t>Science</t>
  </si>
  <si>
    <t xml:space="preserve">10th </t>
  </si>
  <si>
    <t xml:space="preserve">DIPLOMA </t>
  </si>
  <si>
    <t xml:space="preserve">BE </t>
  </si>
  <si>
    <t>PERCENTAGE BY MARKS / SGPA</t>
  </si>
  <si>
    <t>Social Science</t>
  </si>
  <si>
    <t xml:space="preserve">FINAL PERCENTAGE </t>
  </si>
  <si>
    <t>BACKLOG SUBJECT</t>
  </si>
  <si>
    <t xml:space="preserve">BACKLOG STATUS </t>
  </si>
  <si>
    <t xml:space="preserve">YEAR </t>
  </si>
  <si>
    <t>EXAM SESSIION</t>
  </si>
  <si>
    <t>LEVEL</t>
  </si>
  <si>
    <t>SEMESTER</t>
  </si>
  <si>
    <t>SUBJECT</t>
  </si>
  <si>
    <t xml:space="preserve"> MARKS OBTAINED</t>
  </si>
  <si>
    <t>MAX MARKS</t>
  </si>
  <si>
    <t>EDUCATION PERCENTAGE</t>
  </si>
  <si>
    <t>PERCENTAGE</t>
  </si>
  <si>
    <t>10TH -SSLC</t>
  </si>
  <si>
    <t xml:space="preserve">sem1 </t>
  </si>
  <si>
    <t>marks</t>
  </si>
  <si>
    <t>max marks</t>
  </si>
  <si>
    <t>sem 2</t>
  </si>
  <si>
    <t>sem 3</t>
  </si>
  <si>
    <t>sem 4</t>
  </si>
  <si>
    <t>sem 5</t>
  </si>
  <si>
    <t>sem 6</t>
  </si>
  <si>
    <t>percentage</t>
  </si>
  <si>
    <t xml:space="preserve">final year </t>
  </si>
  <si>
    <t>UNDER GRAGUATE [BE]</t>
  </si>
  <si>
    <t xml:space="preserve">FINAL </t>
  </si>
  <si>
    <t>“Academic performance improved from 10th to Engineering”</t>
  </si>
  <si>
    <t xml:space="preserve"> EDUCATION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</si>
</sst>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rgb="FF0070C0"/>
      <name val="Calibri"/>
      <family val="2"/>
      <scheme val="minor"/>
    </font>
    <font>
      <sz val="22"/>
      <color rgb="FF0070C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2"/>
      <color theme="7"/>
      <name val="Calibri"/>
      <family val="2"/>
      <scheme val="minor"/>
    </font>
    <font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vertical="top"/>
    </xf>
    <xf numFmtId="0" fontId="8" fillId="2" borderId="0" xfId="0" applyFont="1" applyFill="1"/>
    <xf numFmtId="0" fontId="8" fillId="0" borderId="0" xfId="0" applyFont="1"/>
  </cellXfs>
  <cellStyles count="1">
    <cellStyle name="Normal" xfId="0" builtinId="0"/>
  </cellStyles>
  <dxfs count="14"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 Academic Performance </a:t>
            </a:r>
            <a:r>
              <a:rPr lang="en-IN" sz="1600" b="1" i="0" u="none" strike="noStrike" baseline="0"/>
              <a:t>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92D05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E4-4BB4-A5EA-F998E4F21BED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6E4-4BB4-A5EA-F998E4F21BED}"/>
              </c:ext>
            </c:extLst>
          </c:dPt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"/>
              <c:pt idx="0">
                <c:v>10TH -SSLC 2017-2019</c:v>
              </c:pt>
              <c:pt idx="1">
                <c:v>DIPLOMA 2019-2022</c:v>
              </c:pt>
              <c:pt idx="2">
                <c:v>UNDER GRAGUATE [BE] 2023-2025</c:v>
              </c:pt>
            </c:strLit>
          </c:cat>
          <c:val>
            <c:numLit>
              <c:formatCode>General</c:formatCode>
              <c:ptCount val="3"/>
              <c:pt idx="0">
                <c:v>55.84</c:v>
              </c:pt>
              <c:pt idx="1">
                <c:v>69.09</c:v>
              </c:pt>
              <c:pt idx="2">
                <c:v>72.8</c:v>
              </c:pt>
            </c:numLit>
          </c:val>
          <c:extLst>
            <c:ext xmlns:c16="http://schemas.microsoft.com/office/drawing/2014/chart" uri="{C3380CC4-5D6E-409C-BE32-E72D297353CC}">
              <c16:uniqueId val="{00000000-66E4-4BB4-A5EA-F998E4F21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97332319"/>
        <c:axId val="397345759"/>
      </c:barChart>
      <c:catAx>
        <c:axId val="397332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45759"/>
        <c:crosses val="autoZero"/>
        <c:auto val="1"/>
        <c:lblAlgn val="ctr"/>
        <c:lblOffset val="100"/>
        <c:noMultiLvlLbl val="0"/>
      </c:catAx>
      <c:valAx>
        <c:axId val="39734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3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</xdr:row>
      <xdr:rowOff>0</xdr:rowOff>
    </xdr:from>
    <xdr:to>
      <xdr:col>13</xdr:col>
      <xdr:colOff>7620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60C36B-C4F8-145F-4141-02AC45C90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BA8637-C1F2-4247-B928-130965E78FD6}" name="Table2" displayName="Table2" ref="A2:K25" totalsRowShown="0">
  <autoFilter ref="A2:K25" xr:uid="{E08C59E2-B37B-4C6E-88EA-79E80BEC97D6}"/>
  <tableColumns count="11">
    <tableColumn id="1" xr3:uid="{EA9E6F39-3CF2-4AA4-9131-5E9322BDCE10}" name="YEAR "/>
    <tableColumn id="2" xr3:uid="{C1F074F4-D4A6-4633-846B-8A5C798EBF09}" name="EXAM SESSIION"/>
    <tableColumn id="3" xr3:uid="{629E9D55-3DBA-47D6-9C63-8135DFA5BC97}" name="LEVEL"/>
    <tableColumn id="4" xr3:uid="{50AC63C6-E857-4B82-BEDF-FA0F064F340B}" name="SEMESTER"/>
    <tableColumn id="5" xr3:uid="{D675AE94-FE61-4166-A9C9-C7321BA10934}" name="SUBJECT"/>
    <tableColumn id="6" xr3:uid="{BABDE901-4792-408B-9955-EACDBF9E56AA}" name=" MARKS OBTAINED"/>
    <tableColumn id="7" xr3:uid="{03EA0D36-37E2-401C-9876-FBFA77269CBC}" name="MAX MARKS"/>
    <tableColumn id="8" xr3:uid="{5CDC0B4E-B674-4963-AFA1-832E67303BA1}" name="PERCENTAGE BY MARKS / SGPA">
      <calculatedColumnFormula>(F3/G3)*100</calculatedColumnFormula>
    </tableColumn>
    <tableColumn id="12" xr3:uid="{50615FD9-FC34-4D40-BF55-359833ACD8EA}" name="FINAL PERCENTAGE "/>
    <tableColumn id="9" xr3:uid="{5B24D390-FD5D-4A62-97C4-344D668CD73D}" name="BACKLOG SUBJECT"/>
    <tableColumn id="10" xr3:uid="{566083ED-FE31-416A-8ACB-51E9E758A74D}" name="BACKLOG STATUS 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1882B6-F71A-46C8-852A-2CFB89425248}" name="Table3" displayName="Table3" ref="A30:C33" totalsRowShown="0">
  <autoFilter ref="A30:C33" xr:uid="{711882B6-F71A-46C8-852A-2CFB89425248}"/>
  <tableColumns count="3">
    <tableColumn id="1" xr3:uid="{03D40686-7FD1-408E-8291-5CB47DDAB409}" name="YEAR "/>
    <tableColumn id="2" xr3:uid="{26E9D055-050E-43A6-AA5F-722497A84433}" name="LEVEL"/>
    <tableColumn id="3" xr3:uid="{4E958380-646F-4BC1-BD86-78215B498FDF}" name="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506E-4F73-4493-AAA3-E336EB1940E5}">
  <dimension ref="A1:L1"/>
  <sheetViews>
    <sheetView topLeftCell="A7" workbookViewId="0">
      <selection activeCell="Q10" sqref="Q10"/>
    </sheetView>
  </sheetViews>
  <sheetFormatPr defaultRowHeight="14.4" x14ac:dyDescent="0.3"/>
  <cols>
    <col min="1" max="1" width="14.88671875" customWidth="1"/>
    <col min="2" max="2" width="18.77734375" bestFit="1" customWidth="1"/>
  </cols>
  <sheetData>
    <row r="1" spans="1:12" ht="28.8" x14ac:dyDescent="0.55000000000000004">
      <c r="A1" s="7"/>
      <c r="B1" s="6"/>
      <c r="C1" s="9" t="s">
        <v>69</v>
      </c>
      <c r="D1" s="9"/>
      <c r="E1" s="9"/>
      <c r="F1" s="9"/>
      <c r="G1" s="9"/>
      <c r="H1" s="10"/>
      <c r="I1" s="10"/>
      <c r="J1" s="5"/>
      <c r="L1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59E2-B37B-4C6E-88EA-79E80BEC97D6}">
  <dimension ref="A1:K39"/>
  <sheetViews>
    <sheetView tabSelected="1" zoomScaleNormal="100" workbookViewId="0"/>
  </sheetViews>
  <sheetFormatPr defaultRowHeight="14.4" x14ac:dyDescent="0.3"/>
  <cols>
    <col min="1" max="1" width="13.77734375" customWidth="1"/>
    <col min="2" max="2" width="19.33203125" customWidth="1"/>
    <col min="3" max="3" width="14" customWidth="1"/>
    <col min="4" max="4" width="14.77734375" customWidth="1"/>
    <col min="5" max="5" width="14.33203125" customWidth="1"/>
    <col min="6" max="6" width="20.5546875" customWidth="1"/>
    <col min="7" max="7" width="12.44140625" customWidth="1"/>
    <col min="8" max="8" width="31.33203125" customWidth="1"/>
    <col min="9" max="9" width="23" customWidth="1"/>
    <col min="10" max="10" width="21.21875" customWidth="1"/>
    <col min="11" max="11" width="18.5546875" customWidth="1"/>
  </cols>
  <sheetData>
    <row r="1" spans="1:11" ht="31.2" x14ac:dyDescent="0.6">
      <c r="A1" s="3" t="s">
        <v>70</v>
      </c>
      <c r="B1" s="4"/>
      <c r="C1" s="4"/>
    </row>
    <row r="2" spans="1:11" x14ac:dyDescent="0.3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s="1" t="s">
        <v>42</v>
      </c>
      <c r="I2" t="s">
        <v>44</v>
      </c>
      <c r="J2" t="s">
        <v>45</v>
      </c>
      <c r="K2" t="s">
        <v>46</v>
      </c>
    </row>
    <row r="3" spans="1:11" x14ac:dyDescent="0.3">
      <c r="A3">
        <v>2019</v>
      </c>
      <c r="B3" t="s">
        <v>20</v>
      </c>
      <c r="C3" t="s">
        <v>4</v>
      </c>
      <c r="D3" t="s">
        <v>26</v>
      </c>
      <c r="E3" t="s">
        <v>0</v>
      </c>
      <c r="F3" s="8">
        <v>70</v>
      </c>
      <c r="G3">
        <v>125</v>
      </c>
      <c r="H3">
        <f>(F3/G3)*100</f>
        <v>56.000000000000007</v>
      </c>
      <c r="I3" t="s">
        <v>12</v>
      </c>
      <c r="J3" t="s">
        <v>12</v>
      </c>
      <c r="K3" t="s">
        <v>8</v>
      </c>
    </row>
    <row r="4" spans="1:11" x14ac:dyDescent="0.3">
      <c r="A4">
        <v>2019</v>
      </c>
      <c r="B4" t="s">
        <v>18</v>
      </c>
      <c r="C4" t="s">
        <v>4</v>
      </c>
      <c r="D4" t="s">
        <v>26</v>
      </c>
      <c r="E4" t="s">
        <v>1</v>
      </c>
      <c r="F4">
        <v>79</v>
      </c>
      <c r="G4">
        <v>100</v>
      </c>
      <c r="H4">
        <f t="shared" ref="H4:H8" si="0">(F4/G4)*100</f>
        <v>79</v>
      </c>
      <c r="I4" t="s">
        <v>12</v>
      </c>
      <c r="J4" t="s">
        <v>12</v>
      </c>
      <c r="K4" t="s">
        <v>8</v>
      </c>
    </row>
    <row r="5" spans="1:11" x14ac:dyDescent="0.3">
      <c r="A5">
        <v>2019</v>
      </c>
      <c r="B5" t="s">
        <v>18</v>
      </c>
      <c r="C5" t="s">
        <v>4</v>
      </c>
      <c r="D5" t="s">
        <v>26</v>
      </c>
      <c r="E5" t="s">
        <v>2</v>
      </c>
      <c r="F5">
        <v>50</v>
      </c>
      <c r="G5">
        <v>100</v>
      </c>
      <c r="H5">
        <f t="shared" si="0"/>
        <v>50</v>
      </c>
      <c r="I5" t="s">
        <v>12</v>
      </c>
      <c r="J5" t="s">
        <v>12</v>
      </c>
      <c r="K5" t="s">
        <v>8</v>
      </c>
    </row>
    <row r="6" spans="1:11" x14ac:dyDescent="0.3">
      <c r="A6">
        <v>2019</v>
      </c>
      <c r="B6" t="s">
        <v>18</v>
      </c>
      <c r="C6" t="s">
        <v>4</v>
      </c>
      <c r="D6" t="s">
        <v>26</v>
      </c>
      <c r="E6" t="s">
        <v>3</v>
      </c>
      <c r="F6">
        <v>46</v>
      </c>
      <c r="G6">
        <v>100</v>
      </c>
      <c r="H6">
        <f t="shared" si="0"/>
        <v>46</v>
      </c>
      <c r="I6" t="s">
        <v>12</v>
      </c>
      <c r="J6" t="s">
        <v>12</v>
      </c>
      <c r="K6" t="s">
        <v>8</v>
      </c>
    </row>
    <row r="7" spans="1:11" x14ac:dyDescent="0.3">
      <c r="A7">
        <v>2019</v>
      </c>
      <c r="B7" t="s">
        <v>18</v>
      </c>
      <c r="C7" t="s">
        <v>4</v>
      </c>
      <c r="D7" t="s">
        <v>26</v>
      </c>
      <c r="E7" t="s">
        <v>38</v>
      </c>
      <c r="F7">
        <v>53</v>
      </c>
      <c r="G7">
        <v>100</v>
      </c>
      <c r="H7">
        <f t="shared" si="0"/>
        <v>53</v>
      </c>
      <c r="I7" t="s">
        <v>12</v>
      </c>
      <c r="J7" t="s">
        <v>12</v>
      </c>
      <c r="K7" t="s">
        <v>8</v>
      </c>
    </row>
    <row r="8" spans="1:11" x14ac:dyDescent="0.3">
      <c r="A8">
        <v>2019</v>
      </c>
      <c r="B8" t="s">
        <v>18</v>
      </c>
      <c r="C8" t="s">
        <v>4</v>
      </c>
      <c r="D8" t="s">
        <v>26</v>
      </c>
      <c r="E8" t="s">
        <v>43</v>
      </c>
      <c r="F8">
        <v>51</v>
      </c>
      <c r="G8">
        <v>100</v>
      </c>
      <c r="H8">
        <f t="shared" si="0"/>
        <v>51</v>
      </c>
      <c r="I8" t="s">
        <v>12</v>
      </c>
      <c r="J8" t="s">
        <v>12</v>
      </c>
      <c r="K8" t="s">
        <v>8</v>
      </c>
    </row>
    <row r="9" spans="1:11" x14ac:dyDescent="0.3">
      <c r="A9" t="s">
        <v>5</v>
      </c>
      <c r="B9" t="s">
        <v>18</v>
      </c>
      <c r="C9" t="s">
        <v>39</v>
      </c>
      <c r="D9" t="s">
        <v>35</v>
      </c>
      <c r="E9" t="s">
        <v>35</v>
      </c>
      <c r="F9">
        <f>SUM(F3:F8)</f>
        <v>349</v>
      </c>
      <c r="G9">
        <f>SUM(G3:G8)</f>
        <v>625</v>
      </c>
      <c r="H9" t="s">
        <v>12</v>
      </c>
      <c r="I9">
        <f>(F9/G9)*100</f>
        <v>55.84</v>
      </c>
      <c r="J9" t="s">
        <v>12</v>
      </c>
      <c r="K9" t="s">
        <v>8</v>
      </c>
    </row>
    <row r="10" spans="1:11" x14ac:dyDescent="0.3">
      <c r="A10">
        <v>2019</v>
      </c>
      <c r="B10" t="s">
        <v>22</v>
      </c>
      <c r="C10" t="s">
        <v>24</v>
      </c>
      <c r="D10" t="s">
        <v>27</v>
      </c>
      <c r="E10" t="s">
        <v>25</v>
      </c>
      <c r="F10">
        <v>323</v>
      </c>
      <c r="G10">
        <v>600</v>
      </c>
      <c r="H10">
        <f t="shared" ref="H10:H17" si="1">(F10/G10)*100</f>
        <v>53.833333333333336</v>
      </c>
      <c r="I10" t="s">
        <v>12</v>
      </c>
      <c r="J10" t="s">
        <v>13</v>
      </c>
      <c r="K10" t="s">
        <v>10</v>
      </c>
    </row>
    <row r="11" spans="1:11" x14ac:dyDescent="0.3">
      <c r="A11">
        <v>2019</v>
      </c>
      <c r="B11" t="s">
        <v>23</v>
      </c>
      <c r="C11" t="s">
        <v>24</v>
      </c>
      <c r="D11" t="s">
        <v>27</v>
      </c>
      <c r="E11" t="s">
        <v>25</v>
      </c>
      <c r="F11">
        <v>63</v>
      </c>
      <c r="G11">
        <v>125</v>
      </c>
      <c r="H11">
        <f t="shared" si="1"/>
        <v>50.4</v>
      </c>
      <c r="I11" t="s">
        <v>12</v>
      </c>
      <c r="J11" t="s">
        <v>13</v>
      </c>
      <c r="K11" t="s">
        <v>9</v>
      </c>
    </row>
    <row r="12" spans="1:11" x14ac:dyDescent="0.3">
      <c r="A12">
        <v>2020</v>
      </c>
      <c r="B12" t="s">
        <v>23</v>
      </c>
      <c r="C12" t="s">
        <v>24</v>
      </c>
      <c r="D12" t="s">
        <v>28</v>
      </c>
      <c r="E12" t="s">
        <v>25</v>
      </c>
      <c r="F12">
        <v>456</v>
      </c>
      <c r="G12">
        <v>600</v>
      </c>
      <c r="H12">
        <f t="shared" si="1"/>
        <v>76</v>
      </c>
      <c r="I12" t="s">
        <v>12</v>
      </c>
      <c r="J12" t="s">
        <v>12</v>
      </c>
      <c r="K12" t="s">
        <v>8</v>
      </c>
    </row>
    <row r="13" spans="1:11" x14ac:dyDescent="0.3">
      <c r="A13">
        <v>2020</v>
      </c>
      <c r="B13" t="s">
        <v>22</v>
      </c>
      <c r="C13" t="s">
        <v>24</v>
      </c>
      <c r="D13" t="s">
        <v>29</v>
      </c>
      <c r="E13" t="s">
        <v>25</v>
      </c>
      <c r="F13">
        <v>364</v>
      </c>
      <c r="G13">
        <v>725</v>
      </c>
      <c r="H13">
        <f t="shared" si="1"/>
        <v>50.206896551724135</v>
      </c>
      <c r="I13" t="s">
        <v>12</v>
      </c>
      <c r="J13" t="s">
        <v>14</v>
      </c>
      <c r="K13" t="s">
        <v>10</v>
      </c>
    </row>
    <row r="14" spans="1:11" x14ac:dyDescent="0.3">
      <c r="A14">
        <v>2021</v>
      </c>
      <c r="B14" t="s">
        <v>23</v>
      </c>
      <c r="C14" t="s">
        <v>24</v>
      </c>
      <c r="D14" t="s">
        <v>29</v>
      </c>
      <c r="E14" t="s">
        <v>25</v>
      </c>
      <c r="F14">
        <v>163</v>
      </c>
      <c r="G14">
        <v>375</v>
      </c>
      <c r="H14">
        <f t="shared" si="1"/>
        <v>43.466666666666661</v>
      </c>
      <c r="I14" t="s">
        <v>12</v>
      </c>
      <c r="J14" t="s">
        <v>14</v>
      </c>
      <c r="K14" t="s">
        <v>9</v>
      </c>
    </row>
    <row r="15" spans="1:11" x14ac:dyDescent="0.3">
      <c r="A15">
        <v>2021</v>
      </c>
      <c r="B15" t="s">
        <v>23</v>
      </c>
      <c r="C15" t="s">
        <v>24</v>
      </c>
      <c r="D15" t="s">
        <v>11</v>
      </c>
      <c r="E15" t="s">
        <v>25</v>
      </c>
      <c r="F15">
        <v>540</v>
      </c>
      <c r="G15">
        <v>725</v>
      </c>
      <c r="H15">
        <f t="shared" si="1"/>
        <v>74.482758620689665</v>
      </c>
      <c r="I15" t="s">
        <v>12</v>
      </c>
      <c r="J15" t="s">
        <v>12</v>
      </c>
      <c r="K15" t="s">
        <v>8</v>
      </c>
    </row>
    <row r="16" spans="1:11" x14ac:dyDescent="0.3">
      <c r="A16">
        <v>2021</v>
      </c>
      <c r="B16" t="s">
        <v>22</v>
      </c>
      <c r="C16" t="s">
        <v>24</v>
      </c>
      <c r="D16" t="s">
        <v>31</v>
      </c>
      <c r="E16" t="s">
        <v>25</v>
      </c>
      <c r="F16">
        <v>508</v>
      </c>
      <c r="G16">
        <v>750</v>
      </c>
      <c r="H16">
        <f t="shared" si="1"/>
        <v>67.733333333333334</v>
      </c>
      <c r="I16" t="s">
        <v>12</v>
      </c>
      <c r="J16" t="s">
        <v>12</v>
      </c>
      <c r="K16" t="s">
        <v>8</v>
      </c>
    </row>
    <row r="17" spans="1:11" x14ac:dyDescent="0.3">
      <c r="A17">
        <v>2022</v>
      </c>
      <c r="B17" t="s">
        <v>23</v>
      </c>
      <c r="C17" t="s">
        <v>24</v>
      </c>
      <c r="D17" t="s">
        <v>32</v>
      </c>
      <c r="E17" t="s">
        <v>25</v>
      </c>
      <c r="F17">
        <v>442</v>
      </c>
      <c r="G17">
        <v>625</v>
      </c>
      <c r="H17">
        <f>(F17/G17)*100</f>
        <v>70.72</v>
      </c>
      <c r="I17" t="s">
        <v>12</v>
      </c>
      <c r="J17" t="s">
        <v>12</v>
      </c>
      <c r="K17" t="s">
        <v>8</v>
      </c>
    </row>
    <row r="18" spans="1:11" x14ac:dyDescent="0.3">
      <c r="A18" t="s">
        <v>6</v>
      </c>
      <c r="B18" t="s">
        <v>19</v>
      </c>
      <c r="C18" t="s">
        <v>40</v>
      </c>
      <c r="D18" t="s">
        <v>26</v>
      </c>
      <c r="E18" t="s">
        <v>68</v>
      </c>
      <c r="F18">
        <f>SUM(F16:F17)</f>
        <v>950</v>
      </c>
      <c r="G18">
        <f>SUM(G16:G17)</f>
        <v>1375</v>
      </c>
      <c r="H18" t="s">
        <v>12</v>
      </c>
      <c r="I18">
        <f>(F18/G18)*100</f>
        <v>69.090909090909093</v>
      </c>
      <c r="J18" t="s">
        <v>12</v>
      </c>
      <c r="K18" t="s">
        <v>8</v>
      </c>
    </row>
    <row r="19" spans="1:11" x14ac:dyDescent="0.3">
      <c r="A19">
        <v>2024</v>
      </c>
      <c r="B19" t="s">
        <v>17</v>
      </c>
      <c r="C19" t="s">
        <v>7</v>
      </c>
      <c r="D19" t="s">
        <v>29</v>
      </c>
      <c r="E19" t="s">
        <v>25</v>
      </c>
      <c r="F19">
        <v>5.0599999999999996</v>
      </c>
      <c r="G19">
        <v>10</v>
      </c>
      <c r="H19">
        <f t="shared" ref="H19:H24" si="2">(F19/G19)*100</f>
        <v>50.6</v>
      </c>
      <c r="I19" t="s">
        <v>12</v>
      </c>
      <c r="J19" t="s">
        <v>15</v>
      </c>
      <c r="K19" t="s">
        <v>10</v>
      </c>
    </row>
    <row r="20" spans="1:11" x14ac:dyDescent="0.3">
      <c r="A20">
        <v>2024</v>
      </c>
      <c r="B20" t="s">
        <v>17</v>
      </c>
      <c r="C20" t="s">
        <v>7</v>
      </c>
      <c r="D20" t="s">
        <v>30</v>
      </c>
      <c r="E20" t="s">
        <v>25</v>
      </c>
      <c r="F20">
        <v>5.64</v>
      </c>
      <c r="G20">
        <v>10</v>
      </c>
      <c r="H20">
        <f t="shared" si="2"/>
        <v>56.399999999999991</v>
      </c>
      <c r="I20" t="s">
        <v>12</v>
      </c>
      <c r="J20" t="s">
        <v>12</v>
      </c>
      <c r="K20" t="s">
        <v>8</v>
      </c>
    </row>
    <row r="21" spans="1:11" x14ac:dyDescent="0.3">
      <c r="A21">
        <v>2025</v>
      </c>
      <c r="B21" t="s">
        <v>21</v>
      </c>
      <c r="C21" t="s">
        <v>7</v>
      </c>
      <c r="D21" t="s">
        <v>31</v>
      </c>
      <c r="E21" t="s">
        <v>25</v>
      </c>
      <c r="F21">
        <v>5.14</v>
      </c>
      <c r="G21">
        <v>10</v>
      </c>
      <c r="H21">
        <f t="shared" si="2"/>
        <v>51.4</v>
      </c>
      <c r="I21" t="s">
        <v>12</v>
      </c>
      <c r="J21" t="s">
        <v>12</v>
      </c>
      <c r="K21" t="s">
        <v>8</v>
      </c>
    </row>
    <row r="22" spans="1:11" x14ac:dyDescent="0.3">
      <c r="A22">
        <v>2025</v>
      </c>
      <c r="B22" t="s">
        <v>17</v>
      </c>
      <c r="C22" t="s">
        <v>7</v>
      </c>
      <c r="D22" t="s">
        <v>32</v>
      </c>
      <c r="E22" t="s">
        <v>25</v>
      </c>
      <c r="F22">
        <v>6.36</v>
      </c>
      <c r="G22">
        <v>10</v>
      </c>
      <c r="H22">
        <f t="shared" si="2"/>
        <v>63.6</v>
      </c>
      <c r="I22" t="s">
        <v>12</v>
      </c>
      <c r="J22" t="s">
        <v>12</v>
      </c>
      <c r="K22" t="s">
        <v>8</v>
      </c>
    </row>
    <row r="23" spans="1:11" x14ac:dyDescent="0.3">
      <c r="A23">
        <v>2025</v>
      </c>
      <c r="B23" t="s">
        <v>17</v>
      </c>
      <c r="C23" t="s">
        <v>7</v>
      </c>
      <c r="D23" t="s">
        <v>33</v>
      </c>
      <c r="E23" t="s">
        <v>25</v>
      </c>
      <c r="F23">
        <v>5.65</v>
      </c>
      <c r="G23">
        <v>10</v>
      </c>
      <c r="H23">
        <f t="shared" si="2"/>
        <v>56.500000000000007</v>
      </c>
      <c r="I23" t="s">
        <v>12</v>
      </c>
      <c r="J23" t="s">
        <v>12</v>
      </c>
      <c r="K23" t="s">
        <v>8</v>
      </c>
    </row>
    <row r="24" spans="1:11" x14ac:dyDescent="0.3">
      <c r="A24">
        <v>2025</v>
      </c>
      <c r="B24" t="s">
        <v>17</v>
      </c>
      <c r="C24" t="s">
        <v>7</v>
      </c>
      <c r="D24" t="s">
        <v>34</v>
      </c>
      <c r="E24" t="s">
        <v>25</v>
      </c>
      <c r="F24">
        <v>9.59</v>
      </c>
      <c r="G24">
        <v>10</v>
      </c>
      <c r="H24">
        <f t="shared" si="2"/>
        <v>95.899999999999991</v>
      </c>
      <c r="I24" t="s">
        <v>12</v>
      </c>
      <c r="J24" t="s">
        <v>15</v>
      </c>
      <c r="K24" t="s">
        <v>9</v>
      </c>
    </row>
    <row r="25" spans="1:11" x14ac:dyDescent="0.3">
      <c r="A25" t="s">
        <v>16</v>
      </c>
      <c r="B25" t="s">
        <v>17</v>
      </c>
      <c r="C25" t="s">
        <v>41</v>
      </c>
      <c r="D25" t="s">
        <v>36</v>
      </c>
      <c r="E25" t="s">
        <v>25</v>
      </c>
      <c r="F25">
        <v>7.28</v>
      </c>
      <c r="G25">
        <v>10</v>
      </c>
      <c r="H25" t="s">
        <v>12</v>
      </c>
      <c r="I25">
        <f>(F25/G25)*100</f>
        <v>72.8</v>
      </c>
      <c r="J25" t="s">
        <v>12</v>
      </c>
      <c r="K25" t="s">
        <v>37</v>
      </c>
    </row>
    <row r="28" spans="1:11" ht="28.8" x14ac:dyDescent="0.55000000000000004">
      <c r="A28" s="2" t="s">
        <v>54</v>
      </c>
      <c r="B28" s="2"/>
    </row>
    <row r="29" spans="1:11" x14ac:dyDescent="0.3">
      <c r="E29" t="s">
        <v>40</v>
      </c>
    </row>
    <row r="30" spans="1:11" x14ac:dyDescent="0.3">
      <c r="A30" t="s">
        <v>47</v>
      </c>
      <c r="B30" t="s">
        <v>49</v>
      </c>
      <c r="C30" t="s">
        <v>55</v>
      </c>
    </row>
    <row r="31" spans="1:11" x14ac:dyDescent="0.3">
      <c r="A31" t="s">
        <v>5</v>
      </c>
      <c r="B31" t="s">
        <v>56</v>
      </c>
      <c r="C31">
        <v>55.84</v>
      </c>
      <c r="F31" t="s">
        <v>58</v>
      </c>
      <c r="G31" t="s">
        <v>59</v>
      </c>
      <c r="H31" t="s">
        <v>65</v>
      </c>
    </row>
    <row r="32" spans="1:11" x14ac:dyDescent="0.3">
      <c r="A32" t="s">
        <v>6</v>
      </c>
      <c r="B32" t="s">
        <v>24</v>
      </c>
      <c r="C32">
        <v>69.09</v>
      </c>
      <c r="E32" t="s">
        <v>57</v>
      </c>
      <c r="F32">
        <v>345</v>
      </c>
      <c r="G32">
        <v>600</v>
      </c>
      <c r="H32">
        <f>(F32/G32)*100</f>
        <v>57.499999999999993</v>
      </c>
    </row>
    <row r="33" spans="1:8" x14ac:dyDescent="0.3">
      <c r="A33" t="s">
        <v>16</v>
      </c>
      <c r="B33" t="s">
        <v>67</v>
      </c>
      <c r="C33">
        <v>72.8</v>
      </c>
      <c r="E33" t="s">
        <v>60</v>
      </c>
      <c r="F33">
        <v>456</v>
      </c>
      <c r="G33">
        <v>600</v>
      </c>
      <c r="H33">
        <f t="shared" ref="H33:H37" si="3">(F33/G33)*100</f>
        <v>76</v>
      </c>
    </row>
    <row r="34" spans="1:8" x14ac:dyDescent="0.3">
      <c r="E34" t="s">
        <v>61</v>
      </c>
      <c r="F34">
        <v>402</v>
      </c>
      <c r="G34">
        <v>725</v>
      </c>
      <c r="H34">
        <f t="shared" si="3"/>
        <v>55.448275862068961</v>
      </c>
    </row>
    <row r="35" spans="1:8" x14ac:dyDescent="0.3">
      <c r="E35" t="s">
        <v>62</v>
      </c>
      <c r="F35">
        <v>540</v>
      </c>
      <c r="G35">
        <v>725</v>
      </c>
      <c r="H35">
        <f t="shared" si="3"/>
        <v>74.482758620689665</v>
      </c>
    </row>
    <row r="36" spans="1:8" x14ac:dyDescent="0.3">
      <c r="E36" t="s">
        <v>63</v>
      </c>
      <c r="F36">
        <v>508</v>
      </c>
      <c r="G36">
        <v>750</v>
      </c>
      <c r="H36">
        <f t="shared" si="3"/>
        <v>67.733333333333334</v>
      </c>
    </row>
    <row r="37" spans="1:8" x14ac:dyDescent="0.3">
      <c r="E37" t="s">
        <v>64</v>
      </c>
      <c r="F37">
        <v>442</v>
      </c>
      <c r="G37">
        <v>625</v>
      </c>
      <c r="H37">
        <f t="shared" si="3"/>
        <v>70.72</v>
      </c>
    </row>
    <row r="39" spans="1:8" x14ac:dyDescent="0.3">
      <c r="E39" t="s">
        <v>66</v>
      </c>
      <c r="F39">
        <f>SUM(508,442)</f>
        <v>950</v>
      </c>
      <c r="G39">
        <v>1375</v>
      </c>
      <c r="H39">
        <f>(F39/G39)*100</f>
        <v>69.090909090909093</v>
      </c>
    </row>
  </sheetData>
  <phoneticPr fontId="1" type="noConversion"/>
  <conditionalFormatting sqref="A2:K10 A16:G17 H16 A11:H15 I11:K17 A18:K25">
    <cfRule type="expression" dxfId="13" priority="1">
      <formula>$C2="BE FINAL"</formula>
    </cfRule>
    <cfRule type="expression" dxfId="12" priority="3">
      <formula>$C2="DIPLOMA FINAL"</formula>
    </cfRule>
    <cfRule type="expression" dxfId="11" priority="4">
      <formula>$C2="10th FINAL"</formula>
    </cfRule>
    <cfRule type="expression" dxfId="10" priority="5">
      <formula>$C2="Diploma"</formula>
    </cfRule>
    <cfRule type="expression" dxfId="9" priority="6">
      <formula>$C2="BE"</formula>
    </cfRule>
    <cfRule type="expression" dxfId="8" priority="7">
      <formula>$C2="Diploma"</formula>
    </cfRule>
    <cfRule type="expression" dxfId="7" priority="8">
      <formula>$C2="10th"</formula>
    </cfRule>
    <cfRule type="expression" priority="9">
      <formula>$C2="10th"</formula>
    </cfRule>
  </conditionalFormatting>
  <conditionalFormatting sqref="H17">
    <cfRule type="expression" dxfId="6" priority="18">
      <formula>$C16="BE FINAL"</formula>
    </cfRule>
    <cfRule type="expression" dxfId="5" priority="19">
      <formula>$C16="DIPLOMA FINAL"</formula>
    </cfRule>
    <cfRule type="expression" dxfId="4" priority="20">
      <formula>$C16="10th FINAL"</formula>
    </cfRule>
    <cfRule type="expression" dxfId="3" priority="21">
      <formula>$C16="Diploma"</formula>
    </cfRule>
    <cfRule type="expression" dxfId="2" priority="22">
      <formula>$C16="BE"</formula>
    </cfRule>
    <cfRule type="expression" dxfId="1" priority="23">
      <formula>$C16="Diploma"</formula>
    </cfRule>
    <cfRule type="expression" dxfId="0" priority="24">
      <formula>$C16="10th"</formula>
    </cfRule>
    <cfRule type="expression" priority="25">
      <formula>$C16="10th"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summary chart</vt:lpstr>
      <vt:lpstr>EDUCATION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 N</dc:creator>
  <cp:lastModifiedBy>Chaitra N</cp:lastModifiedBy>
  <dcterms:created xsi:type="dcterms:W3CDTF">2026-03-28T09:10:55Z</dcterms:created>
  <dcterms:modified xsi:type="dcterms:W3CDTF">2026-03-29T07:13:09Z</dcterms:modified>
</cp:coreProperties>
</file>